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e2f88468f2fc9c/Desktop/Excel Projects/"/>
    </mc:Choice>
  </mc:AlternateContent>
  <xr:revisionPtr revIDLastSave="2" documentId="8_{232BAFE2-0EC2-436C-B099-FFFA1A98EA02}" xr6:coauthVersionLast="47" xr6:coauthVersionMax="47" xr10:uidLastSave="{0870C21B-EAAE-4725-95F0-1B21071C91CE}"/>
  <bookViews>
    <workbookView xWindow="-108" yWindow="-108" windowWidth="23256" windowHeight="12456" xr2:uid="{87659AF4-6333-431C-ADFC-7E1D07DE9E16}"/>
  </bookViews>
  <sheets>
    <sheet name="Gradebook" sheetId="2" r:id="rId1"/>
  </sheets>
  <definedNames>
    <definedName name="_xlnm.Print_Area" localSheetId="0">Gradebook!$B$1:$N$14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2" l="1"/>
  <c r="I14" i="2"/>
  <c r="H14" i="2"/>
  <c r="G14" i="2"/>
  <c r="F14" i="2"/>
  <c r="E14" i="2"/>
  <c r="D14" i="2"/>
  <c r="C14" i="2"/>
  <c r="K13" i="2"/>
  <c r="L13" i="2" s="1"/>
  <c r="K12" i="2"/>
  <c r="L12" i="2" s="1"/>
  <c r="K11" i="2"/>
  <c r="K10" i="2"/>
  <c r="L10" i="2" s="1"/>
  <c r="K9" i="2"/>
  <c r="K8" i="2"/>
  <c r="L8" i="2" s="1"/>
  <c r="K5" i="2"/>
  <c r="L11" i="2" l="1"/>
  <c r="M8" i="2" a="1"/>
  <c r="M8" i="2" s="1"/>
  <c r="M14" i="2" s="1"/>
  <c r="L9" i="2"/>
  <c r="K14" i="2"/>
  <c r="L14" i="2" l="1"/>
  <c r="N8" i="2" a="1"/>
  <c r="N8" i="2" s="1"/>
  <c r="N14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<sst xmlns="http://schemas.openxmlformats.org/spreadsheetml/2006/main" count="25" uniqueCount="21">
  <si>
    <t>Extra Credit</t>
  </si>
  <si>
    <t>Total</t>
  </si>
  <si>
    <t>Max Score</t>
  </si>
  <si>
    <t>Name</t>
  </si>
  <si>
    <t>Test 1</t>
  </si>
  <si>
    <t>Test 2</t>
  </si>
  <si>
    <t>Test 3</t>
  </si>
  <si>
    <t>Test 4</t>
  </si>
  <si>
    <t>Quiz 1</t>
  </si>
  <si>
    <t>Quiz 2</t>
  </si>
  <si>
    <t>Quiz 3</t>
  </si>
  <si>
    <t>Quiz 4</t>
  </si>
  <si>
    <t>% Grade</t>
  </si>
  <si>
    <t>Decimal Grade</t>
  </si>
  <si>
    <t>Saun</t>
  </si>
  <si>
    <t>Greame</t>
  </si>
  <si>
    <t>Charlie</t>
  </si>
  <si>
    <t>Dexter</t>
  </si>
  <si>
    <t>Miki</t>
  </si>
  <si>
    <t>Mo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</si>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</sst>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3" borderId="1" xfId="0" applyFill="1" applyBorder="1"/>
    <xf numFmtId="1" fontId="0" fillId="3" borderId="1" xfId="0" applyNumberFormat="1" applyFill="1" applyBorder="1"/>
    <xf numFmtId="164" fontId="0" fillId="3" borderId="1" xfId="0" applyNumberFormat="1" applyFill="1" applyBorder="1"/>
    <xf numFmtId="2" fontId="0" fillId="3" borderId="1" xfId="0" applyNumberForma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E5EF7-A67C-468D-A516-6A3FC2769249}">
  <sheetPr>
    <tabColor rgb="FF0000FF"/>
  </sheetPr>
  <dimension ref="B1:Q42"/>
  <sheetViews>
    <sheetView tabSelected="1" zoomScale="115" zoomScaleNormal="115" workbookViewId="0">
      <selection activeCell="D17" sqref="D17"/>
    </sheetView>
  </sheetViews>
  <sheetFormatPr defaultRowHeight="14.4" x14ac:dyDescent="0.3"/>
  <cols>
    <col min="2" max="2" width="10.77734375" customWidth="1"/>
    <col min="3" max="10" width="6.109375" customWidth="1"/>
    <col min="11" max="11" width="10.77734375" customWidth="1"/>
    <col min="12" max="13" width="9.5546875" customWidth="1"/>
    <col min="14" max="14" width="12.77734375" customWidth="1"/>
    <col min="16" max="16" width="9.5546875" customWidth="1"/>
    <col min="17" max="17" width="12.77734375" customWidth="1"/>
  </cols>
  <sheetData>
    <row r="1" spans="2:17" x14ac:dyDescent="0.3">
      <c r="K1" s="1" t="s">
        <v>0</v>
      </c>
    </row>
    <row r="2" spans="2:17" x14ac:dyDescent="0.3">
      <c r="K2" s="2">
        <v>5</v>
      </c>
    </row>
    <row r="4" spans="2:17" x14ac:dyDescent="0.3">
      <c r="K4" s="1" t="s">
        <v>1</v>
      </c>
    </row>
    <row r="5" spans="2:17" x14ac:dyDescent="0.3">
      <c r="B5" s="1" t="s">
        <v>2</v>
      </c>
      <c r="C5" s="2">
        <v>100</v>
      </c>
      <c r="D5" s="2">
        <v>100</v>
      </c>
      <c r="E5" s="2">
        <v>100</v>
      </c>
      <c r="F5" s="2">
        <v>100</v>
      </c>
      <c r="G5" s="2">
        <v>30</v>
      </c>
      <c r="H5" s="2">
        <v>30</v>
      </c>
      <c r="I5" s="2">
        <v>30</v>
      </c>
      <c r="J5" s="2">
        <v>30</v>
      </c>
      <c r="K5" s="3">
        <f>SUM(C5:J5)</f>
        <v>520</v>
      </c>
    </row>
    <row r="7" spans="2:17" x14ac:dyDescent="0.3">
      <c r="B7" s="1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9</v>
      </c>
      <c r="I7" s="1" t="s">
        <v>10</v>
      </c>
      <c r="J7" s="1" t="s">
        <v>11</v>
      </c>
      <c r="K7" s="1" t="s">
        <v>1</v>
      </c>
      <c r="L7" s="1" t="s">
        <v>12</v>
      </c>
      <c r="M7" s="1" t="s">
        <v>12</v>
      </c>
      <c r="N7" s="1" t="s">
        <v>13</v>
      </c>
      <c r="P7" s="1" t="s">
        <v>12</v>
      </c>
      <c r="Q7" s="1" t="s">
        <v>13</v>
      </c>
    </row>
    <row r="8" spans="2:17" x14ac:dyDescent="0.3">
      <c r="B8" s="2" t="s">
        <v>14</v>
      </c>
      <c r="C8" s="2">
        <v>88</v>
      </c>
      <c r="D8" s="2">
        <v>87</v>
      </c>
      <c r="E8" s="2">
        <v>92</v>
      </c>
      <c r="F8" s="2">
        <v>100</v>
      </c>
      <c r="G8" s="2">
        <v>25</v>
      </c>
      <c r="H8" s="2">
        <v>21</v>
      </c>
      <c r="I8" s="2">
        <v>29</v>
      </c>
      <c r="J8" s="2">
        <v>29</v>
      </c>
      <c r="K8" s="3">
        <f>SUM(C8:J8)+$K$2</f>
        <v>476</v>
      </c>
      <c r="L8" s="3">
        <f>ROUND(K8/$K$5,4)</f>
        <v>0.91539999999999999</v>
      </c>
      <c r="M8" s="3" cm="1">
        <f t="array" ref="M8:M13">ROUND(K8:K13/K5,4)</f>
        <v>0.91539999999999999</v>
      </c>
      <c r="N8" s="3" cm="1">
        <f t="array" ref="N8:N13">_xlfn.XLOOKUP(_xlfn.ANCHORARRAY(M8),P8:P42,Q8:Q42,,-1)</f>
        <v>3.7</v>
      </c>
      <c r="P8" s="2">
        <v>0</v>
      </c>
      <c r="Q8" s="2">
        <v>0</v>
      </c>
    </row>
    <row r="9" spans="2:17" x14ac:dyDescent="0.3">
      <c r="B9" s="2" t="s">
        <v>15</v>
      </c>
      <c r="C9" s="2">
        <v>78</v>
      </c>
      <c r="D9" s="2">
        <v>78</v>
      </c>
      <c r="E9" s="2">
        <v>87</v>
      </c>
      <c r="F9" s="2">
        <v>91</v>
      </c>
      <c r="G9" s="2">
        <v>24</v>
      </c>
      <c r="H9" s="2">
        <v>22</v>
      </c>
      <c r="I9" s="2">
        <v>30</v>
      </c>
      <c r="J9" s="2">
        <v>14</v>
      </c>
      <c r="K9" s="3">
        <f t="shared" ref="K9:K13" si="0">SUM(C9:J9)+$K$2</f>
        <v>429</v>
      </c>
      <c r="L9" s="3">
        <f t="shared" ref="L9:L13" si="1">ROUND(K9/$K$5,4)</f>
        <v>0.82499999999999996</v>
      </c>
      <c r="M9" s="3">
        <v>0.82499999999999996</v>
      </c>
      <c r="N9" s="3">
        <v>2.8</v>
      </c>
      <c r="P9" s="2">
        <v>0.61</v>
      </c>
      <c r="Q9" s="2">
        <v>0.7</v>
      </c>
    </row>
    <row r="10" spans="2:17" x14ac:dyDescent="0.3">
      <c r="B10" s="2" t="s">
        <v>16</v>
      </c>
      <c r="C10" s="2">
        <v>99</v>
      </c>
      <c r="D10" s="2">
        <v>92</v>
      </c>
      <c r="E10" s="2">
        <v>100</v>
      </c>
      <c r="F10" s="2">
        <v>99</v>
      </c>
      <c r="G10" s="2">
        <v>25</v>
      </c>
      <c r="H10" s="2">
        <v>25</v>
      </c>
      <c r="I10" s="2">
        <v>30</v>
      </c>
      <c r="J10" s="2">
        <v>28</v>
      </c>
      <c r="K10" s="3">
        <f t="shared" si="0"/>
        <v>503</v>
      </c>
      <c r="L10" s="3">
        <f t="shared" si="1"/>
        <v>0.96730000000000005</v>
      </c>
      <c r="M10" s="3">
        <v>0.96730000000000005</v>
      </c>
      <c r="N10" s="3">
        <v>4</v>
      </c>
      <c r="P10" s="2">
        <v>0.62</v>
      </c>
      <c r="Q10" s="2">
        <v>0.8</v>
      </c>
    </row>
    <row r="11" spans="2:17" x14ac:dyDescent="0.3">
      <c r="B11" s="2" t="s">
        <v>17</v>
      </c>
      <c r="C11" s="2">
        <v>100</v>
      </c>
      <c r="D11" s="2">
        <v>91</v>
      </c>
      <c r="E11" s="2">
        <v>100</v>
      </c>
      <c r="F11" s="2">
        <v>98</v>
      </c>
      <c r="G11" s="2">
        <v>26</v>
      </c>
      <c r="H11" s="2">
        <v>24</v>
      </c>
      <c r="I11" s="2">
        <v>30</v>
      </c>
      <c r="J11" s="2">
        <v>27</v>
      </c>
      <c r="K11" s="3">
        <f t="shared" si="0"/>
        <v>501</v>
      </c>
      <c r="L11" s="3">
        <f t="shared" si="1"/>
        <v>0.96350000000000002</v>
      </c>
      <c r="M11" s="3">
        <v>0.96350000000000002</v>
      </c>
      <c r="N11" s="3">
        <v>4</v>
      </c>
      <c r="P11" s="2">
        <v>0.63</v>
      </c>
      <c r="Q11" s="2">
        <v>0.9</v>
      </c>
    </row>
    <row r="12" spans="2:17" x14ac:dyDescent="0.3">
      <c r="B12" s="2" t="s">
        <v>18</v>
      </c>
      <c r="C12" s="2">
        <v>92</v>
      </c>
      <c r="D12" s="2">
        <v>98</v>
      </c>
      <c r="E12" s="2">
        <v>99</v>
      </c>
      <c r="F12" s="2">
        <v>90</v>
      </c>
      <c r="G12" s="2">
        <v>21</v>
      </c>
      <c r="H12" s="2">
        <v>19</v>
      </c>
      <c r="I12" s="2">
        <v>30</v>
      </c>
      <c r="J12" s="2">
        <v>29</v>
      </c>
      <c r="K12" s="3">
        <f t="shared" si="0"/>
        <v>483</v>
      </c>
      <c r="L12" s="3">
        <f t="shared" si="1"/>
        <v>0.92879999999999996</v>
      </c>
      <c r="M12" s="3">
        <v>0.92879999999999996</v>
      </c>
      <c r="N12" s="3">
        <v>3.8</v>
      </c>
      <c r="P12" s="2">
        <v>0.64</v>
      </c>
      <c r="Q12" s="2">
        <v>1</v>
      </c>
    </row>
    <row r="13" spans="2:17" x14ac:dyDescent="0.3">
      <c r="B13" s="2" t="s">
        <v>19</v>
      </c>
      <c r="C13" s="2">
        <v>95</v>
      </c>
      <c r="D13" s="2">
        <v>87</v>
      </c>
      <c r="E13" s="2">
        <v>97</v>
      </c>
      <c r="F13" s="2">
        <v>84</v>
      </c>
      <c r="G13" s="2">
        <v>25</v>
      </c>
      <c r="H13" s="2">
        <v>18</v>
      </c>
      <c r="I13" s="2">
        <v>30</v>
      </c>
      <c r="J13" s="2">
        <v>30</v>
      </c>
      <c r="K13" s="3">
        <f t="shared" si="0"/>
        <v>471</v>
      </c>
      <c r="L13" s="3">
        <f t="shared" si="1"/>
        <v>0.90580000000000005</v>
      </c>
      <c r="M13" s="3">
        <v>0.90580000000000005</v>
      </c>
      <c r="N13" s="3">
        <v>3.6</v>
      </c>
      <c r="P13" s="2">
        <v>0.65</v>
      </c>
      <c r="Q13" s="2">
        <v>1.1000000000000001</v>
      </c>
    </row>
    <row r="14" spans="2:17" x14ac:dyDescent="0.3">
      <c r="B14" s="1" t="s">
        <v>20</v>
      </c>
      <c r="C14" s="4">
        <f>AVERAGE(C8:C13)</f>
        <v>92</v>
      </c>
      <c r="D14" s="4">
        <f t="shared" ref="D14:N14" si="2">AVERAGE(D8:D13)</f>
        <v>88.833333333333329</v>
      </c>
      <c r="E14" s="4">
        <f t="shared" si="2"/>
        <v>95.833333333333329</v>
      </c>
      <c r="F14" s="4">
        <f t="shared" si="2"/>
        <v>93.666666666666671</v>
      </c>
      <c r="G14" s="4">
        <f t="shared" si="2"/>
        <v>24.333333333333332</v>
      </c>
      <c r="H14" s="4">
        <f t="shared" si="2"/>
        <v>21.5</v>
      </c>
      <c r="I14" s="4">
        <f t="shared" si="2"/>
        <v>29.833333333333332</v>
      </c>
      <c r="J14" s="4">
        <f t="shared" si="2"/>
        <v>26.166666666666668</v>
      </c>
      <c r="K14" s="4">
        <f t="shared" si="2"/>
        <v>477.16666666666669</v>
      </c>
      <c r="L14" s="5">
        <f t="shared" si="2"/>
        <v>0.9176333333333333</v>
      </c>
      <c r="M14" s="5">
        <f t="shared" si="2"/>
        <v>0.9176333333333333</v>
      </c>
      <c r="N14" s="6">
        <f t="shared" si="2"/>
        <v>3.6500000000000004</v>
      </c>
      <c r="P14" s="2">
        <v>0.66</v>
      </c>
      <c r="Q14" s="2">
        <v>1.2</v>
      </c>
    </row>
    <row r="15" spans="2:17" x14ac:dyDescent="0.3">
      <c r="P15" s="2">
        <v>0.67</v>
      </c>
      <c r="Q15" s="2">
        <v>1.3</v>
      </c>
    </row>
    <row r="16" spans="2:17" x14ac:dyDescent="0.3">
      <c r="P16" s="2">
        <v>0.68</v>
      </c>
      <c r="Q16" s="2">
        <v>1.4</v>
      </c>
    </row>
    <row r="17" spans="2:17" x14ac:dyDescent="0.3">
      <c r="B17" s="7"/>
      <c r="C17" s="7"/>
      <c r="D17" s="7"/>
      <c r="E17" s="7"/>
      <c r="F17" s="7"/>
      <c r="G17" s="7"/>
      <c r="H17" s="7"/>
      <c r="I17" s="7"/>
      <c r="J17" s="7"/>
      <c r="K17" s="7"/>
      <c r="P17" s="2">
        <v>0.69</v>
      </c>
      <c r="Q17" s="2">
        <v>1.5</v>
      </c>
    </row>
    <row r="18" spans="2:17" x14ac:dyDescent="0.3">
      <c r="P18" s="2">
        <v>0.7</v>
      </c>
      <c r="Q18" s="2">
        <v>1.6</v>
      </c>
    </row>
    <row r="19" spans="2:17" x14ac:dyDescent="0.3">
      <c r="P19" s="2">
        <v>0.71</v>
      </c>
      <c r="Q19" s="2">
        <v>1.7</v>
      </c>
    </row>
    <row r="20" spans="2:17" x14ac:dyDescent="0.3">
      <c r="B20" s="7"/>
      <c r="C20" s="7"/>
      <c r="D20" s="7"/>
      <c r="E20" s="7"/>
      <c r="F20" s="7"/>
      <c r="G20" s="7"/>
      <c r="H20" s="7"/>
      <c r="I20" s="7"/>
      <c r="J20" s="7"/>
      <c r="K20" s="7"/>
      <c r="P20" s="2">
        <v>0.72</v>
      </c>
      <c r="Q20" s="2">
        <v>1.8</v>
      </c>
    </row>
    <row r="21" spans="2:17" x14ac:dyDescent="0.3">
      <c r="P21" s="2">
        <v>0.73</v>
      </c>
      <c r="Q21" s="2">
        <v>1.9</v>
      </c>
    </row>
    <row r="22" spans="2:17" x14ac:dyDescent="0.3">
      <c r="P22" s="2">
        <v>0.74</v>
      </c>
      <c r="Q22" s="2">
        <v>2</v>
      </c>
    </row>
    <row r="23" spans="2:17" x14ac:dyDescent="0.3">
      <c r="B23" s="7"/>
      <c r="C23" s="7"/>
      <c r="D23" s="7"/>
      <c r="E23" s="7"/>
      <c r="F23" s="7"/>
      <c r="G23" s="7"/>
      <c r="H23" s="7"/>
      <c r="I23" s="7"/>
      <c r="P23" s="2">
        <v>0.75</v>
      </c>
      <c r="Q23" s="2">
        <v>2.1</v>
      </c>
    </row>
    <row r="24" spans="2:17" x14ac:dyDescent="0.3">
      <c r="P24" s="2">
        <v>0.76</v>
      </c>
      <c r="Q24" s="2">
        <v>2.2000000000000002</v>
      </c>
    </row>
    <row r="25" spans="2:17" x14ac:dyDescent="0.3">
      <c r="P25" s="2">
        <v>0.77</v>
      </c>
      <c r="Q25" s="2">
        <v>2.2999999999999998</v>
      </c>
    </row>
    <row r="26" spans="2:17" x14ac:dyDescent="0.3">
      <c r="P26" s="2">
        <v>0.78</v>
      </c>
      <c r="Q26" s="2">
        <v>2.4</v>
      </c>
    </row>
    <row r="27" spans="2:17" x14ac:dyDescent="0.3">
      <c r="P27" s="2">
        <v>0.79</v>
      </c>
      <c r="Q27" s="2">
        <v>2.5</v>
      </c>
    </row>
    <row r="28" spans="2:17" x14ac:dyDescent="0.3">
      <c r="P28" s="2">
        <v>0.8</v>
      </c>
      <c r="Q28" s="2">
        <v>2.6</v>
      </c>
    </row>
    <row r="29" spans="2:17" x14ac:dyDescent="0.3">
      <c r="P29" s="2">
        <v>0.81</v>
      </c>
      <c r="Q29" s="2">
        <v>2.7</v>
      </c>
    </row>
    <row r="30" spans="2:17" x14ac:dyDescent="0.3">
      <c r="P30" s="2">
        <v>0.82</v>
      </c>
      <c r="Q30" s="2">
        <v>2.8</v>
      </c>
    </row>
    <row r="31" spans="2:17" x14ac:dyDescent="0.3">
      <c r="P31" s="2">
        <v>0.83</v>
      </c>
      <c r="Q31" s="2">
        <v>2.9</v>
      </c>
    </row>
    <row r="32" spans="2:17" x14ac:dyDescent="0.3">
      <c r="P32" s="2">
        <v>0.84</v>
      </c>
      <c r="Q32" s="2">
        <v>3</v>
      </c>
    </row>
    <row r="33" spans="16:17" x14ac:dyDescent="0.3">
      <c r="P33" s="2">
        <v>0.85</v>
      </c>
      <c r="Q33" s="2">
        <v>3.1</v>
      </c>
    </row>
    <row r="34" spans="16:17" x14ac:dyDescent="0.3">
      <c r="P34" s="2">
        <v>0.86</v>
      </c>
      <c r="Q34" s="2">
        <v>3.2</v>
      </c>
    </row>
    <row r="35" spans="16:17" x14ac:dyDescent="0.3">
      <c r="P35" s="2">
        <v>0.87</v>
      </c>
      <c r="Q35" s="2">
        <v>3.3</v>
      </c>
    </row>
    <row r="36" spans="16:17" x14ac:dyDescent="0.3">
      <c r="P36" s="2">
        <v>0.88</v>
      </c>
      <c r="Q36" s="2">
        <v>3.4</v>
      </c>
    </row>
    <row r="37" spans="16:17" x14ac:dyDescent="0.3">
      <c r="P37" s="2">
        <v>0.89</v>
      </c>
      <c r="Q37" s="2">
        <v>3.5</v>
      </c>
    </row>
    <row r="38" spans="16:17" x14ac:dyDescent="0.3">
      <c r="P38" s="2">
        <v>0.9</v>
      </c>
      <c r="Q38" s="2">
        <v>3.6</v>
      </c>
    </row>
    <row r="39" spans="16:17" x14ac:dyDescent="0.3">
      <c r="P39" s="2">
        <v>0.91</v>
      </c>
      <c r="Q39" s="2">
        <v>3.7</v>
      </c>
    </row>
    <row r="40" spans="16:17" x14ac:dyDescent="0.3">
      <c r="P40" s="2">
        <v>0.92</v>
      </c>
      <c r="Q40" s="2">
        <v>3.8</v>
      </c>
    </row>
    <row r="41" spans="16:17" x14ac:dyDescent="0.3">
      <c r="P41" s="2">
        <v>0.93</v>
      </c>
      <c r="Q41" s="2">
        <v>3.9</v>
      </c>
    </row>
    <row r="42" spans="16:17" x14ac:dyDescent="0.3">
      <c r="P42" s="2">
        <v>0.94</v>
      </c>
      <c r="Q42" s="2">
        <v>4</v>
      </c>
    </row>
  </sheetData>
  <printOptions horizontalCentered="1"/>
  <pageMargins left="0.11811023622047245" right="0.11811023622047245" top="0.74803149606299213" bottom="0.74803149606299213" header="0.31496062992125984" footer="0.31496062992125984"/>
  <pageSetup orientation="landscape" r:id="rId1"/>
  <headerFooter>
    <oddFooter>&amp;L&amp;A&amp;C&amp;P of &amp;N&amp;R&amp;T - 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Gradebook</vt:lpstr>
      <vt:lpstr>Gradebook!Print_Area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Chinmay Srivastava</dc:creator>
  <cp:lastModifiedBy>Chinmay Srivastava</cp:lastModifiedBy>
  <dcterms:created xsi:type="dcterms:W3CDTF">2026-01-11T20:23:02Z</dcterms:created>
  <dcterms:modified xsi:type="dcterms:W3CDTF">2026-01-11T20:29:05Z</dcterms:modified>
</cp:coreProperties>
</file>